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Entradas" sheetId="2" state="visible" r:id="rId2"/>
    <sheet name="Saídas" sheetId="3" state="visible" r:id="rId3"/>
    <sheet name="Estoque Atual" sheetId="4" state="visible" r:id="rId4"/>
    <sheet name="Estoque Crít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18" customWidth="1" min="4" max="4"/>
    <col width="15" customWidth="1" min="5" max="5"/>
    <col width="18" customWidth="1" min="6" max="6"/>
    <col width="20" customWidth="1" min="7" max="7"/>
    <col width="15" customWidth="1" min="8" max="8"/>
  </cols>
  <sheetData>
    <row r="1">
      <c r="A1" s="1" t="inlineStr">
        <is>
          <t>Código</t>
        </is>
      </c>
      <c r="B1" s="1" t="inlineStr">
        <is>
          <t>Nome do Produto</t>
        </is>
      </c>
      <c r="C1" s="1" t="inlineStr">
        <is>
          <t>Descrição</t>
        </is>
      </c>
      <c r="D1" s="1" t="inlineStr">
        <is>
          <t>Tipo de Produto</t>
        </is>
      </c>
      <c r="E1" s="1" t="inlineStr">
        <is>
          <t>Estoque Mínimo</t>
        </is>
      </c>
      <c r="F1" s="1" t="inlineStr">
        <is>
          <t>Valor Unitário (R$)</t>
        </is>
      </c>
      <c r="G1" s="1" t="inlineStr">
        <is>
          <t>Fornecedor</t>
        </is>
      </c>
      <c r="H1" s="1" t="inlineStr">
        <is>
          <t>Localização</t>
        </is>
      </c>
    </row>
    <row r="2">
      <c r="A2" t="inlineStr">
        <is>
          <t>P001</t>
        </is>
      </c>
      <c r="B2" t="inlineStr">
        <is>
          <t>Parafuso M6</t>
        </is>
      </c>
      <c r="C2" t="inlineStr">
        <is>
          <t>Parafuso sextavado 6mm</t>
        </is>
      </c>
      <c r="D2" t="inlineStr">
        <is>
          <t>Fixação</t>
        </is>
      </c>
      <c r="E2" t="n">
        <v>100</v>
      </c>
      <c r="F2" t="n">
        <v>0.5</v>
      </c>
      <c r="G2" t="inlineStr">
        <is>
          <t>Parafusos Brasil</t>
        </is>
      </c>
      <c r="H2" t="inlineStr">
        <is>
          <t>A1</t>
        </is>
      </c>
    </row>
    <row r="3">
      <c r="A3" t="inlineStr">
        <is>
          <t>P002</t>
        </is>
      </c>
      <c r="B3" t="inlineStr">
        <is>
          <t>Tinta Branca 18L</t>
        </is>
      </c>
      <c r="C3" t="inlineStr">
        <is>
          <t>Tinta acrílica branca</t>
        </is>
      </c>
      <c r="D3" t="inlineStr">
        <is>
          <t>Pintura</t>
        </is>
      </c>
      <c r="E3" t="n">
        <v>10</v>
      </c>
      <c r="F3" t="n">
        <v>85</v>
      </c>
      <c r="G3" t="inlineStr">
        <is>
          <t>Tintas Color</t>
        </is>
      </c>
      <c r="H3" t="inlineStr">
        <is>
          <t>B3</t>
        </is>
      </c>
    </row>
    <row r="4">
      <c r="A4" t="inlineStr">
        <is>
          <t>P003</t>
        </is>
      </c>
      <c r="B4" t="inlineStr">
        <is>
          <t>Lixa Grão 100</t>
        </is>
      </c>
      <c r="C4" t="inlineStr">
        <is>
          <t>Lixa para madeira</t>
        </is>
      </c>
      <c r="D4" t="inlineStr">
        <is>
          <t>Acabamento</t>
        </is>
      </c>
      <c r="E4" t="n">
        <v>50</v>
      </c>
      <c r="F4" t="n">
        <v>2.3</v>
      </c>
      <c r="G4" t="inlineStr">
        <is>
          <t>Abrasivos Sul</t>
        </is>
      </c>
      <c r="H4" t="inlineStr">
        <is>
          <t>C2</t>
        </is>
      </c>
    </row>
    <row r="5">
      <c r="A5" t="inlineStr">
        <is>
          <t>P004</t>
        </is>
      </c>
      <c r="B5" t="inlineStr">
        <is>
          <t>Cola PVA 1kg</t>
        </is>
      </c>
      <c r="C5" t="inlineStr">
        <is>
          <t>Cola branca uso geral</t>
        </is>
      </c>
      <c r="D5" t="inlineStr">
        <is>
          <t>Adesivos</t>
        </is>
      </c>
      <c r="E5" t="n">
        <v>20</v>
      </c>
      <c r="F5" t="n">
        <v>12.5</v>
      </c>
      <c r="G5" t="inlineStr">
        <is>
          <t>Química ABC</t>
        </is>
      </c>
      <c r="H5" t="inlineStr">
        <is>
          <t>A2</t>
        </is>
      </c>
    </row>
    <row r="6">
      <c r="A6" t="inlineStr">
        <is>
          <t>P005</t>
        </is>
      </c>
      <c r="B6" t="inlineStr">
        <is>
          <t>Prego 2x12</t>
        </is>
      </c>
      <c r="C6" t="inlineStr">
        <is>
          <t>Prego comum aço</t>
        </is>
      </c>
      <c r="D6" t="inlineStr">
        <is>
          <t>Fixação</t>
        </is>
      </c>
      <c r="E6" t="n">
        <v>200</v>
      </c>
      <c r="F6" t="n">
        <v>0.25</v>
      </c>
      <c r="G6" t="inlineStr">
        <is>
          <t>Ferro Forte</t>
        </is>
      </c>
      <c r="H6" t="inlineStr">
        <is>
          <t>A1</t>
        </is>
      </c>
    </row>
    <row r="7">
      <c r="A7" t="inlineStr">
        <is>
          <t>P006</t>
        </is>
      </c>
      <c r="B7" t="inlineStr">
        <is>
          <t>Verniz 900ml</t>
        </is>
      </c>
      <c r="C7" t="inlineStr">
        <is>
          <t>Verniz marítimo</t>
        </is>
      </c>
      <c r="D7" t="inlineStr">
        <is>
          <t>Acabamento</t>
        </is>
      </c>
      <c r="E7" t="n">
        <v>15</v>
      </c>
      <c r="F7" t="n">
        <v>34.9</v>
      </c>
      <c r="G7" t="inlineStr">
        <is>
          <t>Tintas Color</t>
        </is>
      </c>
      <c r="H7" t="inlineStr">
        <is>
          <t>B2</t>
        </is>
      </c>
    </row>
    <row r="8">
      <c r="A8" t="inlineStr">
        <is>
          <t>P007</t>
        </is>
      </c>
      <c r="B8" t="inlineStr">
        <is>
          <t>Broca 6mm</t>
        </is>
      </c>
      <c r="C8" t="inlineStr">
        <is>
          <t>Broca aço rápido</t>
        </is>
      </c>
      <c r="D8" t="inlineStr">
        <is>
          <t>Ferramentas</t>
        </is>
      </c>
      <c r="E8" t="n">
        <v>25</v>
      </c>
      <c r="F8" t="n">
        <v>8.75</v>
      </c>
      <c r="G8" t="inlineStr">
        <is>
          <t>Ferramentas Pro</t>
        </is>
      </c>
      <c r="H8" t="inlineStr">
        <is>
          <t>D1</t>
        </is>
      </c>
    </row>
    <row r="9">
      <c r="A9" t="inlineStr">
        <is>
          <t>P008</t>
        </is>
      </c>
      <c r="B9" t="inlineStr">
        <is>
          <t>Fita Crepe 50m</t>
        </is>
      </c>
      <c r="C9" t="inlineStr">
        <is>
          <t>Fita adesiva papel</t>
        </is>
      </c>
      <c r="D9" t="inlineStr">
        <is>
          <t>Materiais</t>
        </is>
      </c>
      <c r="E9" t="n">
        <v>30</v>
      </c>
      <c r="F9" t="n">
        <v>6.8</v>
      </c>
      <c r="G9" t="inlineStr">
        <is>
          <t>Adesivos Total</t>
        </is>
      </c>
      <c r="H9" t="inlineStr">
        <is>
          <t>C1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20" customWidth="1" min="3" max="3"/>
    <col width="15" customWidth="1" min="4" max="4"/>
    <col width="28" customWidth="1" min="5" max="5"/>
    <col width="20" customWidth="1" min="6" max="6"/>
  </cols>
  <sheetData>
    <row r="1">
      <c r="A1" s="1" t="inlineStr">
        <is>
          <t>Data da Entrada</t>
        </is>
      </c>
      <c r="B1" s="1" t="inlineStr">
        <is>
          <t>Documento (Nota Fiscal / Nº de Compra)</t>
        </is>
      </c>
      <c r="C1" s="1" t="inlineStr">
        <is>
          <t>Produto / Material</t>
        </is>
      </c>
      <c r="D1" s="1" t="inlineStr">
        <is>
          <t>Quantidade</t>
        </is>
      </c>
      <c r="E1" s="1" t="inlineStr">
        <is>
          <t>Valor Unitário de Compra (R$)</t>
        </is>
      </c>
      <c r="F1" s="1" t="inlineStr">
        <is>
          <t>Valor Total (R$)</t>
        </is>
      </c>
    </row>
    <row r="2">
      <c r="A2" t="inlineStr">
        <is>
          <t>10/01/2026</t>
        </is>
      </c>
      <c r="B2" t="inlineStr">
        <is>
          <t>NF-12345</t>
        </is>
      </c>
      <c r="C2" t="inlineStr">
        <is>
          <t>P001</t>
        </is>
      </c>
      <c r="D2" t="n">
        <v>500</v>
      </c>
      <c r="E2" t="n">
        <v>0.48</v>
      </c>
      <c r="F2">
        <f>D2*E2</f>
        <v/>
      </c>
    </row>
    <row r="3">
      <c r="A3" t="inlineStr">
        <is>
          <t>12/01/2026</t>
        </is>
      </c>
      <c r="B3" t="inlineStr">
        <is>
          <t>NF-12347</t>
        </is>
      </c>
      <c r="C3" t="inlineStr">
        <is>
          <t>P002</t>
        </is>
      </c>
      <c r="D3" t="n">
        <v>50</v>
      </c>
      <c r="E3" t="n">
        <v>82</v>
      </c>
      <c r="F3">
        <f>D3*E3</f>
        <v/>
      </c>
    </row>
    <row r="4">
      <c r="A4" t="inlineStr">
        <is>
          <t>14/01/2026</t>
        </is>
      </c>
      <c r="B4" t="inlineStr">
        <is>
          <t>NF-12350</t>
        </is>
      </c>
      <c r="C4" t="inlineStr">
        <is>
          <t>P003</t>
        </is>
      </c>
      <c r="D4" t="n">
        <v>200</v>
      </c>
      <c r="E4" t="n">
        <v>2.2</v>
      </c>
      <c r="F4">
        <f>D4*E4</f>
        <v/>
      </c>
    </row>
    <row r="5">
      <c r="A5" t="inlineStr">
        <is>
          <t>16/01/2026</t>
        </is>
      </c>
      <c r="B5" t="inlineStr">
        <is>
          <t>NF-12355</t>
        </is>
      </c>
      <c r="C5" t="inlineStr">
        <is>
          <t>P004</t>
        </is>
      </c>
      <c r="D5" t="n">
        <v>100</v>
      </c>
      <c r="E5" t="n">
        <v>12</v>
      </c>
      <c r="F5">
        <f>D5*E5</f>
        <v/>
      </c>
    </row>
    <row r="6">
      <c r="A6" t="inlineStr">
        <is>
          <t>19/01/2026</t>
        </is>
      </c>
      <c r="B6" t="inlineStr">
        <is>
          <t>NF-12360</t>
        </is>
      </c>
      <c r="C6" t="inlineStr">
        <is>
          <t>P005</t>
        </is>
      </c>
      <c r="D6" t="n">
        <v>1000</v>
      </c>
      <c r="E6" t="n">
        <v>0.23</v>
      </c>
      <c r="F6">
        <f>D6*E6</f>
        <v/>
      </c>
    </row>
    <row r="7">
      <c r="A7" t="inlineStr">
        <is>
          <t>21/01/2026</t>
        </is>
      </c>
      <c r="B7" t="inlineStr">
        <is>
          <t>NF-12365</t>
        </is>
      </c>
      <c r="C7" t="inlineStr">
        <is>
          <t>P006</t>
        </is>
      </c>
      <c r="D7" t="n">
        <v>30</v>
      </c>
      <c r="E7" t="n">
        <v>33.5</v>
      </c>
      <c r="F7">
        <f>D7*E7</f>
        <v/>
      </c>
    </row>
    <row r="8">
      <c r="A8" t="inlineStr">
        <is>
          <t>24/01/2026</t>
        </is>
      </c>
      <c r="B8" t="inlineStr">
        <is>
          <t>NF-12370</t>
        </is>
      </c>
      <c r="C8" t="inlineStr">
        <is>
          <t>P007</t>
        </is>
      </c>
      <c r="D8" t="n">
        <v>50</v>
      </c>
      <c r="E8" t="n">
        <v>8.5</v>
      </c>
      <c r="F8">
        <f>D8*E8</f>
        <v/>
      </c>
    </row>
    <row r="9">
      <c r="A9" t="inlineStr">
        <is>
          <t>27/01/2026</t>
        </is>
      </c>
      <c r="B9" t="inlineStr">
        <is>
          <t>NF-12375</t>
        </is>
      </c>
      <c r="C9" t="inlineStr">
        <is>
          <t>P001</t>
        </is>
      </c>
      <c r="D9" t="n">
        <v>300</v>
      </c>
      <c r="E9" t="n">
        <v>0.5</v>
      </c>
      <c r="F9">
        <f>D9*E9</f>
        <v/>
      </c>
    </row>
    <row r="10">
      <c r="A10" t="inlineStr">
        <is>
          <t>29/01/2026</t>
        </is>
      </c>
      <c r="B10" t="inlineStr">
        <is>
          <t>NF-12380</t>
        </is>
      </c>
      <c r="C10" t="inlineStr">
        <is>
          <t>P008</t>
        </is>
      </c>
      <c r="D10" t="n">
        <v>100</v>
      </c>
      <c r="E10" t="n">
        <v>6.5</v>
      </c>
      <c r="F10">
        <f>D10*E10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30" customWidth="1" min="4" max="4"/>
  </cols>
  <sheetData>
    <row r="1">
      <c r="A1" s="1" t="inlineStr">
        <is>
          <t>Data da Saída</t>
        </is>
      </c>
      <c r="B1" s="1" t="inlineStr">
        <is>
          <t>Produto / Material</t>
        </is>
      </c>
      <c r="C1" s="1" t="inlineStr">
        <is>
          <t>Quantidade Retirada</t>
        </is>
      </c>
      <c r="D1" s="1" t="inlineStr">
        <is>
          <t>Motivo da Saída</t>
        </is>
      </c>
    </row>
    <row r="2">
      <c r="A2" t="inlineStr">
        <is>
          <t>11/01/2026</t>
        </is>
      </c>
      <c r="B2" t="inlineStr">
        <is>
          <t>P001</t>
        </is>
      </c>
      <c r="C2" t="n">
        <v>150</v>
      </c>
      <c r="D2" t="inlineStr">
        <is>
          <t>Uso em produção</t>
        </is>
      </c>
    </row>
    <row r="3">
      <c r="A3" t="inlineStr">
        <is>
          <t>13/01/2026</t>
        </is>
      </c>
      <c r="B3" t="inlineStr">
        <is>
          <t>P003</t>
        </is>
      </c>
      <c r="C3" t="n">
        <v>80</v>
      </c>
      <c r="D3" t="inlineStr">
        <is>
          <t>Acabamento produto X</t>
        </is>
      </c>
    </row>
    <row r="4">
      <c r="A4" t="inlineStr">
        <is>
          <t>15/01/2026</t>
        </is>
      </c>
      <c r="B4" t="inlineStr">
        <is>
          <t>P002</t>
        </is>
      </c>
      <c r="C4" t="n">
        <v>5</v>
      </c>
      <c r="D4" t="inlineStr">
        <is>
          <t>Pintura setor B</t>
        </is>
      </c>
    </row>
    <row r="5">
      <c r="A5" t="inlineStr">
        <is>
          <t>17/01/2026</t>
        </is>
      </c>
      <c r="B5" t="inlineStr">
        <is>
          <t>P004</t>
        </is>
      </c>
      <c r="C5" t="n">
        <v>35</v>
      </c>
      <c r="D5" t="inlineStr">
        <is>
          <t>Montagem</t>
        </is>
      </c>
    </row>
    <row r="6">
      <c r="A6" t="inlineStr">
        <is>
          <t>20/01/2026</t>
        </is>
      </c>
      <c r="B6" t="inlineStr">
        <is>
          <t>P005</t>
        </is>
      </c>
      <c r="C6" t="n">
        <v>450</v>
      </c>
      <c r="D6" t="inlineStr">
        <is>
          <t>Uso em produção</t>
        </is>
      </c>
    </row>
    <row r="7">
      <c r="A7" t="inlineStr">
        <is>
          <t>22/01/2026</t>
        </is>
      </c>
      <c r="B7" t="inlineStr">
        <is>
          <t>P001</t>
        </is>
      </c>
      <c r="C7" t="n">
        <v>200</v>
      </c>
      <c r="D7" t="inlineStr">
        <is>
          <t>Venda cliente</t>
        </is>
      </c>
    </row>
    <row r="8">
      <c r="A8" t="inlineStr">
        <is>
          <t>25/01/2026</t>
        </is>
      </c>
      <c r="B8" t="inlineStr">
        <is>
          <t>P006</t>
        </is>
      </c>
      <c r="C8" t="n">
        <v>8</v>
      </c>
      <c r="D8" t="inlineStr">
        <is>
          <t>Acabamento final</t>
        </is>
      </c>
    </row>
    <row r="9">
      <c r="A9" t="inlineStr">
        <is>
          <t>28/01/2026</t>
        </is>
      </c>
      <c r="B9" t="inlineStr">
        <is>
          <t>P007</t>
        </is>
      </c>
      <c r="C9" t="n">
        <v>12</v>
      </c>
      <c r="D9" t="inlineStr">
        <is>
          <t>Manutenção</t>
        </is>
      </c>
    </row>
    <row r="10">
      <c r="A10" t="inlineStr">
        <is>
          <t>30/01/2026</t>
        </is>
      </c>
      <c r="B10" t="inlineStr">
        <is>
          <t>P008</t>
        </is>
      </c>
      <c r="C10" t="n">
        <v>45</v>
      </c>
      <c r="D10" t="inlineStr">
        <is>
          <t>Embalagem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18" customWidth="1" min="4" max="4"/>
    <col width="18" customWidth="1" min="5" max="5"/>
  </cols>
  <sheetData>
    <row r="1">
      <c r="A1" s="1" t="inlineStr">
        <is>
          <t>Produto / Material</t>
        </is>
      </c>
      <c r="B1" s="1" t="inlineStr">
        <is>
          <t>Estoque Inicial</t>
        </is>
      </c>
      <c r="C1" s="1" t="inlineStr">
        <is>
          <t>Total de Entradas</t>
        </is>
      </c>
      <c r="D1" s="1" t="inlineStr">
        <is>
          <t>Total de Saídas</t>
        </is>
      </c>
      <c r="E1" s="1" t="inlineStr">
        <is>
          <t>Saldo Atual</t>
        </is>
      </c>
    </row>
    <row r="2">
      <c r="A2" t="inlineStr">
        <is>
          <t>P001</t>
        </is>
      </c>
      <c r="B2" t="n">
        <v>0</v>
      </c>
      <c r="C2">
        <f>SUMIF(Entradas!C:C,A2,Entradas!D:D)</f>
        <v/>
      </c>
      <c r="D2">
        <f>SUMIF(Saídas!B:B,A2,Saídas!C:C)</f>
        <v/>
      </c>
      <c r="E2">
        <f>B2+C2-D2</f>
        <v/>
      </c>
    </row>
    <row r="3">
      <c r="A3" t="inlineStr">
        <is>
          <t>P002</t>
        </is>
      </c>
      <c r="B3" t="n">
        <v>0</v>
      </c>
      <c r="C3">
        <f>SUMIF(Entradas!C:C,A3,Entradas!D:D)</f>
        <v/>
      </c>
      <c r="D3">
        <f>SUMIF(Saídas!B:B,A3,Saídas!C:C)</f>
        <v/>
      </c>
      <c r="E3">
        <f>B3+C3-D3</f>
        <v/>
      </c>
    </row>
    <row r="4">
      <c r="A4" t="inlineStr">
        <is>
          <t>P003</t>
        </is>
      </c>
      <c r="B4" t="n">
        <v>0</v>
      </c>
      <c r="C4">
        <f>SUMIF(Entradas!C:C,A4,Entradas!D:D)</f>
        <v/>
      </c>
      <c r="D4">
        <f>SUMIF(Saídas!B:B,A4,Saídas!C:C)</f>
        <v/>
      </c>
      <c r="E4">
        <f>B4+C4-D4</f>
        <v/>
      </c>
    </row>
    <row r="5">
      <c r="A5" t="inlineStr">
        <is>
          <t>P004</t>
        </is>
      </c>
      <c r="B5" t="n">
        <v>0</v>
      </c>
      <c r="C5">
        <f>SUMIF(Entradas!C:C,A5,Entradas!D:D)</f>
        <v/>
      </c>
      <c r="D5">
        <f>SUMIF(Saídas!B:B,A5,Saídas!C:C)</f>
        <v/>
      </c>
      <c r="E5">
        <f>B5+C5-D5</f>
        <v/>
      </c>
    </row>
    <row r="6">
      <c r="A6" t="inlineStr">
        <is>
          <t>P005</t>
        </is>
      </c>
      <c r="B6" t="n">
        <v>0</v>
      </c>
      <c r="C6">
        <f>SUMIF(Entradas!C:C,A6,Entradas!D:D)</f>
        <v/>
      </c>
      <c r="D6">
        <f>SUMIF(Saídas!B:B,A6,Saídas!C:C)</f>
        <v/>
      </c>
      <c r="E6">
        <f>B6+C6-D6</f>
        <v/>
      </c>
    </row>
    <row r="7">
      <c r="A7" t="inlineStr">
        <is>
          <t>P006</t>
        </is>
      </c>
      <c r="B7" t="n">
        <v>0</v>
      </c>
      <c r="C7">
        <f>SUMIF(Entradas!C:C,A7,Entradas!D:D)</f>
        <v/>
      </c>
      <c r="D7">
        <f>SUMIF(Saídas!B:B,A7,Saídas!C:C)</f>
        <v/>
      </c>
      <c r="E7">
        <f>B7+C7-D7</f>
        <v/>
      </c>
    </row>
    <row r="8">
      <c r="A8" t="inlineStr">
        <is>
          <t>P007</t>
        </is>
      </c>
      <c r="B8" t="n">
        <v>0</v>
      </c>
      <c r="C8">
        <f>SUMIF(Entradas!C:C,A8,Entradas!D:D)</f>
        <v/>
      </c>
      <c r="D8">
        <f>SUMIF(Saídas!B:B,A8,Saídas!C:C)</f>
        <v/>
      </c>
      <c r="E8">
        <f>B8+C8-D8</f>
        <v/>
      </c>
    </row>
    <row r="9">
      <c r="A9" t="inlineStr">
        <is>
          <t>P008</t>
        </is>
      </c>
      <c r="B9" t="n">
        <v>0</v>
      </c>
      <c r="C9">
        <f>SUMIF(Entradas!C:C,A9,Entradas!D:D)</f>
        <v/>
      </c>
      <c r="D9">
        <f>SUMIF(Saídas!B:B,A9,Saídas!C:C)</f>
        <v/>
      </c>
      <c r="E9">
        <f>B9+C9-D9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25" customWidth="1" min="4" max="4"/>
  </cols>
  <sheetData>
    <row r="1">
      <c r="A1" s="1" t="inlineStr">
        <is>
          <t>Nome do Produto</t>
        </is>
      </c>
      <c r="B1" s="1" t="inlineStr">
        <is>
          <t>Estoque Atual</t>
        </is>
      </c>
      <c r="C1" s="1" t="inlineStr">
        <is>
          <t>Estoque Mínimo</t>
        </is>
      </c>
      <c r="D1" s="1" t="inlineStr">
        <is>
          <t>Status (Ex.: 'Repor' / 'OK')</t>
        </is>
      </c>
    </row>
    <row r="2">
      <c r="A2">
        <f>Base!B2</f>
        <v/>
      </c>
      <c r="B2">
        <f>VLOOKUP(Base!A2,"Estoque Atual"!A:E,5,FALSE)</f>
        <v/>
      </c>
      <c r="C2">
        <f>Base!E2</f>
        <v/>
      </c>
      <c r="D2">
        <f>IF(B2&lt;C2,"⚠️ REPOR","✓ OK")</f>
        <v/>
      </c>
    </row>
    <row r="3">
      <c r="A3">
        <f>Base!B3</f>
        <v/>
      </c>
      <c r="B3">
        <f>VLOOKUP(Base!A3,"Estoque Atual"!A:E,5,FALSE)</f>
        <v/>
      </c>
      <c r="C3">
        <f>Base!E3</f>
        <v/>
      </c>
      <c r="D3">
        <f>IF(B3&lt;C3,"⚠️ REPOR","✓ OK")</f>
        <v/>
      </c>
    </row>
    <row r="4">
      <c r="A4">
        <f>Base!B4</f>
        <v/>
      </c>
      <c r="B4">
        <f>VLOOKUP(Base!A4,"Estoque Atual"!A:E,5,FALSE)</f>
        <v/>
      </c>
      <c r="C4">
        <f>Base!E4</f>
        <v/>
      </c>
      <c r="D4">
        <f>IF(B4&lt;C4,"⚠️ REPOR","✓ OK")</f>
        <v/>
      </c>
    </row>
    <row r="5">
      <c r="A5">
        <f>Base!B5</f>
        <v/>
      </c>
      <c r="B5">
        <f>VLOOKUP(Base!A5,"Estoque Atual"!A:E,5,FALSE)</f>
        <v/>
      </c>
      <c r="C5">
        <f>Base!E5</f>
        <v/>
      </c>
      <c r="D5">
        <f>IF(B5&lt;C5,"⚠️ REPOR","✓ OK")</f>
        <v/>
      </c>
    </row>
    <row r="6">
      <c r="A6">
        <f>Base!B6</f>
        <v/>
      </c>
      <c r="B6">
        <f>VLOOKUP(Base!A6,"Estoque Atual"!A:E,5,FALSE)</f>
        <v/>
      </c>
      <c r="C6">
        <f>Base!E6</f>
        <v/>
      </c>
      <c r="D6">
        <f>IF(B6&lt;C6,"⚠️ REPOR","✓ OK")</f>
        <v/>
      </c>
    </row>
    <row r="7">
      <c r="A7">
        <f>Base!B7</f>
        <v/>
      </c>
      <c r="B7">
        <f>VLOOKUP(Base!A7,"Estoque Atual"!A:E,5,FALSE)</f>
        <v/>
      </c>
      <c r="C7">
        <f>Base!E7</f>
        <v/>
      </c>
      <c r="D7">
        <f>IF(B7&lt;C7,"⚠️ REPOR","✓ OK")</f>
        <v/>
      </c>
    </row>
    <row r="8">
      <c r="A8">
        <f>Base!B8</f>
        <v/>
      </c>
      <c r="B8">
        <f>VLOOKUP(Base!A8,"Estoque Atual"!A:E,5,FALSE)</f>
        <v/>
      </c>
      <c r="C8">
        <f>Base!E8</f>
        <v/>
      </c>
      <c r="D8">
        <f>IF(B8&lt;C8,"⚠️ REPOR","✓ OK")</f>
        <v/>
      </c>
    </row>
    <row r="9">
      <c r="A9">
        <f>Base!B9</f>
        <v/>
      </c>
      <c r="B9">
        <f>VLOOKUP(Base!A9,"Estoque Atual"!A:E,5,FALSE)</f>
        <v/>
      </c>
      <c r="C9">
        <f>Base!E9</f>
        <v/>
      </c>
      <c r="D9">
        <f>IF(B9&lt;C9,"⚠️ REPOR","✓ OK")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2026-02-08T22:58:46Z</dcterms:created>
  <dcterms:modified xsi:type="dcterms:W3CDTF">2026-02-08T22:58:46Z</dcterms:modified>
</cp:coreProperties>
</file>